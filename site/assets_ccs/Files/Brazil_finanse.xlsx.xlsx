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Борг" sheetId="1" r:id="rId1"/>
    <sheet name="Рівень перерозп. ВВП" sheetId="3" r:id="rId2"/>
    <sheet name="Валові міжн. резерви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M2" i="1" s="1"/>
  <c r="N2" i="1" l="1"/>
  <c r="L2" i="4"/>
  <c r="M2" i="4" s="1"/>
  <c r="N2" i="4"/>
  <c r="L2" i="3"/>
  <c r="M2" i="3" l="1"/>
  <c r="N2" i="3"/>
</calcChain>
</file>

<file path=xl/sharedStrings.xml><?xml version="1.0" encoding="utf-8"?>
<sst xmlns="http://schemas.openxmlformats.org/spreadsheetml/2006/main" count="82" uniqueCount="43">
  <si>
    <t>Роки</t>
  </si>
  <si>
    <t>Інтервали</t>
  </si>
  <si>
    <t>Рівень безпеки</t>
  </si>
  <si>
    <t>Абс.Неб</t>
  </si>
  <si>
    <t>Крит.</t>
  </si>
  <si>
    <t>Неб.</t>
  </si>
  <si>
    <t>Незадов.</t>
  </si>
  <si>
    <t>Зад.</t>
  </si>
  <si>
    <t>Опт.</t>
  </si>
  <si>
    <t>Avg</t>
  </si>
  <si>
    <t>Min</t>
  </si>
  <si>
    <t>Max</t>
  </si>
  <si>
    <t>У цей період тренд  був висхідний тренд (позитивна тенденція)</t>
  </si>
  <si>
    <t>Тренд висхідний (тенденція негативна)</t>
  </si>
  <si>
    <t>Відношення обсягу державного та гарантованого державою боргу до ВВП, %</t>
  </si>
  <si>
    <t>[30; 40)</t>
  </si>
  <si>
    <t>[20; 30)</t>
  </si>
  <si>
    <t>[40; 50)</t>
  </si>
  <si>
    <t>[50;60)</t>
  </si>
  <si>
    <t>&gt;=60</t>
  </si>
  <si>
    <t xml:space="preserve">&lt;=20 </t>
  </si>
  <si>
    <t>За показником Відношення обсягу державного та гарантованого державою боргу до ВВП, %у період 2014-2023рр. Рівень безпеки Бразилії знаходився на рівні абс. Небезп.</t>
  </si>
  <si>
    <t>Рівень перерозподілу ВВП через зведений бюджет, відсотків</t>
  </si>
  <si>
    <t>&lt;=18</t>
  </si>
  <si>
    <t>[18;19)</t>
  </si>
  <si>
    <t>[19; 20)</t>
  </si>
  <si>
    <t>[20; 23)</t>
  </si>
  <si>
    <t>[23,25)</t>
  </si>
  <si>
    <t>[25;28)</t>
  </si>
  <si>
    <t>[28; 30)</t>
  </si>
  <si>
    <t>[30; 33)</t>
  </si>
  <si>
    <t>[33,35)</t>
  </si>
  <si>
    <t>[35,37)</t>
  </si>
  <si>
    <t>&gt;37</t>
  </si>
  <si>
    <t>За показником рівню перерозподілу ВВП через зведений бюджет, відсотків, рівень безпеки Бразилії знаходився на оптимальтному рівні</t>
  </si>
  <si>
    <t>Валові міжнародні резерви країни, місяців імпорту</t>
  </si>
  <si>
    <t>&lt;=1,5</t>
  </si>
  <si>
    <t>[1,5;2)</t>
  </si>
  <si>
    <t>[2; 2,5)</t>
  </si>
  <si>
    <t>[2,5; 3)</t>
  </si>
  <si>
    <t>[3; 5)</t>
  </si>
  <si>
    <t>&gt;=5</t>
  </si>
  <si>
    <t>За показником валових міжнародних резервів Бразилії, місяців імпорту у період 2015-2024 був на оптимальному рівні. Тенденція позитивна (тренд висхідний)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</si>
</sst>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#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164" fontId="0" fillId="0" borderId="1" xfId="0" applyNumberForma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/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68194307742782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Борг!$A$2</c:f>
              <c:strCache>
                <c:ptCount val="1"/>
                <c:pt idx="0">
                  <c:v>Відношення обсягу державного та гарантованого державою боргу до ВВП,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9.3949721128608929E-2"/>
                  <c:y val="1.76957567804024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xVal>
            <c:strRef>
              <c:f>Борг!$B$1:$N$1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Min</c:v>
                </c:pt>
                <c:pt idx="11">
                  <c:v>Max</c:v>
                </c:pt>
                <c:pt idx="12">
                  <c:v>Avg</c:v>
                </c:pt>
              </c:strCache>
            </c:strRef>
          </c:xVal>
          <c:yVal>
            <c:numRef>
              <c:f>Борг!$B$2:$N$2</c:f>
              <c:numCache>
                <c:formatCode>0.00</c:formatCode>
                <c:ptCount val="13"/>
                <c:pt idx="0">
                  <c:v>58.457271105860862</c:v>
                </c:pt>
                <c:pt idx="1">
                  <c:v>67.537554031090878</c:v>
                </c:pt>
                <c:pt idx="2">
                  <c:v>73.418803801478234</c:v>
                </c:pt>
                <c:pt idx="3">
                  <c:v>83.669202649666047</c:v>
                </c:pt>
                <c:pt idx="4">
                  <c:v>86.607884121151159</c:v>
                </c:pt>
                <c:pt idx="5">
                  <c:v>92.565253194541768</c:v>
                </c:pt>
                <c:pt idx="6">
                  <c:v>98.709881946871434</c:v>
                </c:pt>
                <c:pt idx="7">
                  <c:v>85.011503676801595</c:v>
                </c:pt>
                <c:pt idx="8">
                  <c:v>79.10232188784947</c:v>
                </c:pt>
                <c:pt idx="9">
                  <c:v>83.031749852387833</c:v>
                </c:pt>
                <c:pt idx="10">
                  <c:v>58.457271105860862</c:v>
                </c:pt>
                <c:pt idx="11">
                  <c:v>98.709881946871434</c:v>
                </c:pt>
                <c:pt idx="12">
                  <c:v>80.811142626769922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0A-4D6F-A1CE-54D1067AD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04624"/>
        <c:axId val="436601344"/>
      </c:scatterChart>
      <c:valAx>
        <c:axId val="43660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36601344"/>
        <c:crosses val="autoZero"/>
        <c:crossBetween val="midCat"/>
      </c:valAx>
      <c:valAx>
        <c:axId val="43660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3660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33818897637795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'Рівень перерозп. ВВП'!$A$2</c:f>
              <c:strCache>
                <c:ptCount val="1"/>
                <c:pt idx="0">
                  <c:v>Рівень перерозподілу ВВП через зведений бюджет, відсотків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14295909886264216"/>
                  <c:y val="9.889909594634003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xVal>
            <c:strRef>
              <c:f>'Рівень перерозп. ВВП'!$B$1:$N$1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Min</c:v>
                </c:pt>
                <c:pt idx="11">
                  <c:v>Max</c:v>
                </c:pt>
                <c:pt idx="12">
                  <c:v>Avg</c:v>
                </c:pt>
              </c:strCache>
            </c:strRef>
          </c:xVal>
          <c:yVal>
            <c:numRef>
              <c:f>'Рівень перерозп. ВВП'!$B$2:$N$2</c:f>
              <c:numCache>
                <c:formatCode>########0.0</c:formatCode>
                <c:ptCount val="13"/>
                <c:pt idx="0">
                  <c:v>24.04106062657613</c:v>
                </c:pt>
                <c:pt idx="1">
                  <c:v>25.812325214156324</c:v>
                </c:pt>
                <c:pt idx="2">
                  <c:v>26.173225388018579</c:v>
                </c:pt>
                <c:pt idx="3">
                  <c:v>24.360992078436343</c:v>
                </c:pt>
                <c:pt idx="4">
                  <c:v>25.272438528578483</c:v>
                </c:pt>
                <c:pt idx="5">
                  <c:v>25.560040130445653</c:v>
                </c:pt>
                <c:pt idx="6">
                  <c:v>22.194867345508978</c:v>
                </c:pt>
                <c:pt idx="7">
                  <c:v>24.635829921238155</c:v>
                </c:pt>
                <c:pt idx="8">
                  <c:v>26.936513461968918</c:v>
                </c:pt>
                <c:pt idx="9">
                  <c:v>25.370748483686807</c:v>
                </c:pt>
                <c:pt idx="10" formatCode="0.00">
                  <c:v>22.194867345508978</c:v>
                </c:pt>
                <c:pt idx="11" formatCode="0.00">
                  <c:v>26.936513461968918</c:v>
                </c:pt>
                <c:pt idx="12" formatCode="0.00">
                  <c:v>25.035804117861439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B6-4A99-A886-F37D5F557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04624"/>
        <c:axId val="436601344"/>
      </c:scatterChart>
      <c:valAx>
        <c:axId val="43660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36601344"/>
        <c:crosses val="autoZero"/>
        <c:crossBetween val="midCat"/>
      </c:valAx>
      <c:valAx>
        <c:axId val="43660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###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3660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33818897637795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'Валові міжн. резерви'!$A$2</c:f>
              <c:strCache>
                <c:ptCount val="1"/>
                <c:pt idx="0">
                  <c:v>Валові міжнародні резерви країни, місяців імпорту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17719728783902011"/>
                  <c:y val="-1.4722222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xVal>
            <c:strRef>
              <c:f>'Валові міжн. резерви'!$B$1:$N$1</c:f>
              <c:strCache>
                <c:ptCount val="1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Min</c:v>
                </c:pt>
                <c:pt idx="11">
                  <c:v>Max</c:v>
                </c:pt>
                <c:pt idx="12">
                  <c:v>Avg</c:v>
                </c:pt>
              </c:strCache>
            </c:strRef>
          </c:xVal>
          <c:yVal>
            <c:numRef>
              <c:f>'Валові міжн. резерви'!$B$2:$N$2</c:f>
              <c:numCache>
                <c:formatCode>0.00</c:formatCode>
                <c:ptCount val="13"/>
                <c:pt idx="0">
                  <c:v>14.648248845814761</c:v>
                </c:pt>
                <c:pt idx="1">
                  <c:v>16.603420140758463</c:v>
                </c:pt>
                <c:pt idx="2">
                  <c:v>14.864702342723694</c:v>
                </c:pt>
                <c:pt idx="3">
                  <c:v>13.202166862988019</c:v>
                </c:pt>
                <c:pt idx="4">
                  <c:v>12.231207046513562</c:v>
                </c:pt>
                <c:pt idx="5">
                  <c:v>14.943876988227244</c:v>
                </c:pt>
                <c:pt idx="6">
                  <c:v>11.140230121199391</c:v>
                </c:pt>
                <c:pt idx="7">
                  <c:v>8.353455419443792</c:v>
                </c:pt>
                <c:pt idx="8">
                  <c:v>9.4408713016433641</c:v>
                </c:pt>
                <c:pt idx="9">
                  <c:v>8.1100181562916323</c:v>
                </c:pt>
                <c:pt idx="10">
                  <c:v>8.1100181562916323</c:v>
                </c:pt>
                <c:pt idx="11">
                  <c:v>16.603420140758463</c:v>
                </c:pt>
                <c:pt idx="12">
                  <c:v>12.353819722560392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2B-4F66-92C7-3EF7B7634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04624"/>
        <c:axId val="436601344"/>
      </c:scatterChart>
      <c:valAx>
        <c:axId val="43660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36601344"/>
        <c:crosses val="autoZero"/>
        <c:crossBetween val="midCat"/>
      </c:valAx>
      <c:valAx>
        <c:axId val="43660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3660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11</xdr:row>
      <xdr:rowOff>185737</xdr:rowOff>
    </xdr:from>
    <xdr:to>
      <xdr:col>7</xdr:col>
      <xdr:colOff>76200</xdr:colOff>
      <xdr:row>26</xdr:row>
      <xdr:rowOff>71437</xdr:rowOff>
    </xdr:to>
    <xdr:graphicFrame macro="">
      <xdr:nvGraphicFramePr>
        <xdr:cNvPr id="2" name="Діагра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12</xdr:row>
      <xdr:rowOff>52387</xdr:rowOff>
    </xdr:from>
    <xdr:to>
      <xdr:col>6</xdr:col>
      <xdr:colOff>542925</xdr:colOff>
      <xdr:row>26</xdr:row>
      <xdr:rowOff>128587</xdr:rowOff>
    </xdr:to>
    <xdr:graphicFrame macro="">
      <xdr:nvGraphicFramePr>
        <xdr:cNvPr id="2" name="Діагра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12</xdr:row>
      <xdr:rowOff>52387</xdr:rowOff>
    </xdr:from>
    <xdr:to>
      <xdr:col>6</xdr:col>
      <xdr:colOff>542925</xdr:colOff>
      <xdr:row>26</xdr:row>
      <xdr:rowOff>128587</xdr:rowOff>
    </xdr:to>
    <xdr:graphicFrame macro="">
      <xdr:nvGraphicFramePr>
        <xdr:cNvPr id="2" name="Діагра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96"/>
  <sheetViews>
    <sheetView workbookViewId="0">
      <selection activeCell="N10" sqref="N10"/>
    </sheetView>
  </sheetViews>
  <sheetFormatPr defaultRowHeight="15" x14ac:dyDescent="0.25"/>
  <cols>
    <col min="1" max="1" width="21" customWidth="1"/>
  </cols>
  <sheetData>
    <row r="1" spans="1:38" x14ac:dyDescent="0.25">
      <c r="A1" s="3" t="s">
        <v>0</v>
      </c>
      <c r="B1" s="3">
        <v>2014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  <c r="L1" s="2" t="s">
        <v>10</v>
      </c>
      <c r="M1" s="2" t="s">
        <v>11</v>
      </c>
      <c r="N1" s="2" t="s">
        <v>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65.75" customHeight="1" x14ac:dyDescent="0.25">
      <c r="A2" s="17" t="s">
        <v>14</v>
      </c>
      <c r="B2" s="5">
        <v>58.457271105860862</v>
      </c>
      <c r="C2" s="5">
        <v>67.537554031090878</v>
      </c>
      <c r="D2" s="5">
        <v>73.418803801478234</v>
      </c>
      <c r="E2" s="5">
        <v>83.669202649666047</v>
      </c>
      <c r="F2" s="5">
        <v>86.607884121151159</v>
      </c>
      <c r="G2" s="5">
        <v>92.565253194541768</v>
      </c>
      <c r="H2" s="5">
        <v>98.709881946871434</v>
      </c>
      <c r="I2" s="5">
        <v>85.011503676801595</v>
      </c>
      <c r="J2" s="5">
        <v>79.10232188784947</v>
      </c>
      <c r="K2" s="5">
        <v>83.031749852387833</v>
      </c>
      <c r="L2" s="5">
        <f>MIN(B2:K2)</f>
        <v>58.457271105860862</v>
      </c>
      <c r="M2" s="5">
        <f>MAX(B2:L2)</f>
        <v>98.709881946871434</v>
      </c>
      <c r="N2" s="5">
        <f>AVERAGE(B2:K2)</f>
        <v>80.811142626769922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7"/>
      <c r="B3" s="18"/>
      <c r="C3" s="18"/>
      <c r="D3" s="18"/>
      <c r="E3" s="18"/>
      <c r="F3" s="18"/>
      <c r="G3" s="18"/>
      <c r="H3" s="18"/>
      <c r="I3" s="18"/>
      <c r="J3" s="18"/>
      <c r="K3" s="18"/>
      <c r="L3" s="6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25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6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25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7</v>
      </c>
      <c r="I6" s="2" t="s">
        <v>6</v>
      </c>
      <c r="J6" s="2" t="s">
        <v>5</v>
      </c>
      <c r="K6" s="2" t="s">
        <v>4</v>
      </c>
      <c r="L6" s="2" t="s">
        <v>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25">
      <c r="A7" s="2" t="s">
        <v>1</v>
      </c>
      <c r="B7" s="2"/>
      <c r="C7" s="2"/>
      <c r="D7" s="2"/>
      <c r="E7" s="2"/>
      <c r="F7" s="2"/>
      <c r="G7" s="2" t="s">
        <v>20</v>
      </c>
      <c r="H7" s="2" t="s">
        <v>16</v>
      </c>
      <c r="I7" s="2" t="s">
        <v>15</v>
      </c>
      <c r="J7" s="2" t="s">
        <v>17</v>
      </c>
      <c r="K7" s="2" t="s">
        <v>18</v>
      </c>
      <c r="L7" s="2" t="s">
        <v>19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25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>
        <v>80.81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25">
      <c r="A10" s="8" t="s">
        <v>21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25">
      <c r="A11" s="8" t="s">
        <v>13</v>
      </c>
      <c r="B11" s="8"/>
      <c r="C11" s="8"/>
      <c r="D11" s="8"/>
      <c r="E11" s="8"/>
      <c r="F11" s="8"/>
      <c r="G11" s="8"/>
      <c r="H11" s="8"/>
      <c r="I11" s="8"/>
      <c r="J11" s="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96"/>
  <sheetViews>
    <sheetView workbookViewId="0">
      <selection activeCell="J33" sqref="J33"/>
    </sheetView>
  </sheetViews>
  <sheetFormatPr defaultRowHeight="15" x14ac:dyDescent="0.25"/>
  <cols>
    <col min="1" max="1" width="16.42578125" customWidth="1"/>
  </cols>
  <sheetData>
    <row r="1" spans="1:38" x14ac:dyDescent="0.25">
      <c r="A1" s="3" t="s">
        <v>0</v>
      </c>
      <c r="B1" s="3">
        <v>2014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  <c r="L1" s="2" t="s">
        <v>10</v>
      </c>
      <c r="M1" s="2" t="s">
        <v>11</v>
      </c>
      <c r="N1" s="2" t="s">
        <v>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03.5" customHeight="1" x14ac:dyDescent="0.25">
      <c r="A2" s="17" t="s">
        <v>22</v>
      </c>
      <c r="B2" s="9">
        <v>24.04106062657613</v>
      </c>
      <c r="C2" s="9">
        <v>25.812325214156324</v>
      </c>
      <c r="D2" s="9">
        <v>26.173225388018579</v>
      </c>
      <c r="E2" s="9">
        <v>24.360992078436343</v>
      </c>
      <c r="F2" s="9">
        <v>25.272438528578483</v>
      </c>
      <c r="G2" s="9">
        <v>25.560040130445653</v>
      </c>
      <c r="H2" s="9">
        <v>22.194867345508978</v>
      </c>
      <c r="I2" s="9">
        <v>24.635829921238155</v>
      </c>
      <c r="J2" s="9">
        <v>26.936513461968918</v>
      </c>
      <c r="K2" s="9">
        <v>25.370748483686807</v>
      </c>
      <c r="L2" s="5">
        <f>MIN(B2:K2)</f>
        <v>22.194867345508978</v>
      </c>
      <c r="M2" s="5">
        <f>MAX(B2:L2)</f>
        <v>26.936513461968918</v>
      </c>
      <c r="N2" s="5">
        <f>AVERAGE(B2:K2)</f>
        <v>25.035804117861439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6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2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6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25">
      <c r="A6" s="2" t="s">
        <v>2</v>
      </c>
      <c r="B6" s="10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7</v>
      </c>
      <c r="I6" s="2" t="s">
        <v>6</v>
      </c>
      <c r="J6" s="2" t="s">
        <v>5</v>
      </c>
      <c r="K6" s="2" t="s">
        <v>4</v>
      </c>
      <c r="L6" s="2" t="s">
        <v>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25">
      <c r="A7" s="12" t="s">
        <v>1</v>
      </c>
      <c r="B7" s="2" t="s">
        <v>23</v>
      </c>
      <c r="C7" s="13" t="s">
        <v>24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  <c r="I7" s="2" t="s">
        <v>30</v>
      </c>
      <c r="J7" s="2" t="s">
        <v>31</v>
      </c>
      <c r="K7" s="2" t="s">
        <v>32</v>
      </c>
      <c r="L7" s="2" t="s">
        <v>33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25">
      <c r="A8" s="1"/>
      <c r="B8" s="11"/>
      <c r="C8" s="1"/>
      <c r="D8" s="1"/>
      <c r="E8" s="1"/>
      <c r="F8" s="1"/>
      <c r="G8" s="2">
        <v>25.04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25">
      <c r="A10" s="8" t="s">
        <v>34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25">
      <c r="A11" s="8" t="s">
        <v>12</v>
      </c>
      <c r="B11" s="8"/>
      <c r="C11" s="8"/>
      <c r="D11" s="8"/>
      <c r="E11" s="8"/>
      <c r="F11" s="8"/>
      <c r="G11" s="8"/>
      <c r="H11" s="8"/>
      <c r="I11" s="8"/>
      <c r="J11" s="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96"/>
  <sheetViews>
    <sheetView tabSelected="1" workbookViewId="0">
      <selection activeCell="H35" sqref="H35"/>
    </sheetView>
  </sheetViews>
  <sheetFormatPr defaultRowHeight="15" x14ac:dyDescent="0.25"/>
  <cols>
    <col min="1" max="1" width="16.42578125" customWidth="1"/>
  </cols>
  <sheetData>
    <row r="1" spans="1:38" x14ac:dyDescent="0.25">
      <c r="A1" s="3" t="s">
        <v>0</v>
      </c>
      <c r="B1" s="3">
        <v>2015</v>
      </c>
      <c r="C1" s="3">
        <v>2016</v>
      </c>
      <c r="D1" s="3">
        <v>2017</v>
      </c>
      <c r="E1" s="3">
        <v>2018</v>
      </c>
      <c r="F1" s="3">
        <v>2019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2" t="s">
        <v>10</v>
      </c>
      <c r="M1" s="2" t="s">
        <v>11</v>
      </c>
      <c r="N1" s="2" t="s">
        <v>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94.5" customHeight="1" x14ac:dyDescent="0.25">
      <c r="A2" s="17" t="s">
        <v>35</v>
      </c>
      <c r="B2" s="16">
        <v>14.648248845814761</v>
      </c>
      <c r="C2" s="16">
        <v>16.603420140758463</v>
      </c>
      <c r="D2" s="16">
        <v>14.864702342723694</v>
      </c>
      <c r="E2" s="16">
        <v>13.202166862988019</v>
      </c>
      <c r="F2" s="16">
        <v>12.231207046513562</v>
      </c>
      <c r="G2" s="16">
        <v>14.943876988227244</v>
      </c>
      <c r="H2" s="16">
        <v>11.140230121199391</v>
      </c>
      <c r="I2" s="16">
        <v>8.353455419443792</v>
      </c>
      <c r="J2" s="16">
        <v>9.4408713016433641</v>
      </c>
      <c r="K2" s="16">
        <v>8.1100181562916323</v>
      </c>
      <c r="L2" s="5">
        <f>MIN(B2:K2)</f>
        <v>8.1100181562916323</v>
      </c>
      <c r="M2" s="5">
        <f>MAX(B2:L2)</f>
        <v>16.603420140758463</v>
      </c>
      <c r="N2" s="5">
        <f>AVERAGE(B2:K2)</f>
        <v>12.353819722560392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6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2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6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25">
      <c r="A6" s="2" t="s">
        <v>2</v>
      </c>
      <c r="B6" s="10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7</v>
      </c>
      <c r="I6" s="2" t="s">
        <v>6</v>
      </c>
      <c r="J6" s="2" t="s">
        <v>5</v>
      </c>
      <c r="K6" s="2" t="s">
        <v>4</v>
      </c>
      <c r="L6" s="2" t="s">
        <v>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25">
      <c r="A7" s="12" t="s">
        <v>1</v>
      </c>
      <c r="B7" s="2" t="s">
        <v>36</v>
      </c>
      <c r="C7" s="13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/>
      <c r="I7" s="2"/>
      <c r="J7" s="2"/>
      <c r="K7" s="2"/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25">
      <c r="A8" s="1"/>
      <c r="B8" s="11"/>
      <c r="C8" s="1"/>
      <c r="D8" s="1"/>
      <c r="E8" s="2"/>
      <c r="F8" s="1"/>
      <c r="G8" s="6">
        <v>12.35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25">
      <c r="A10" s="8" t="s">
        <v>42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Борг</vt:lpstr>
      <vt:lpstr>Рівень перерозп. ВВП</vt:lpstr>
      <vt:lpstr>Валові міжн. резерви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2025-11-30T20:10:40Z</dcterms:modified>
</cp:coreProperties>
</file>