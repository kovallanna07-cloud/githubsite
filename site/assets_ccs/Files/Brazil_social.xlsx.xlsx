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багаті й бідні" sheetId="1" r:id="rId1"/>
    <sheet name="Обсяг видат. на охорону здор" sheetId="3" r:id="rId2"/>
    <sheet name="обсяг видатків на освіту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1" l="1"/>
  <c r="J2" i="1"/>
  <c r="I2" i="1"/>
  <c r="H2" i="1"/>
  <c r="G2" i="1"/>
  <c r="F2" i="1"/>
  <c r="L2" i="1" s="1"/>
  <c r="M2" i="1" s="1"/>
  <c r="E2" i="1"/>
  <c r="D2" i="1"/>
  <c r="C2" i="1"/>
  <c r="B2" i="1"/>
  <c r="N2" i="1" l="1"/>
  <c r="L2" i="4"/>
  <c r="M2" i="4" s="1"/>
  <c r="N2" i="4"/>
  <c r="L2" i="3"/>
  <c r="M2" i="3" l="1"/>
  <c r="N2" i="3"/>
</calcChain>
</file>

<file path=xl/sharedStrings.xml><?xml version="1.0" encoding="utf-8"?>
<sst xmlns="http://schemas.openxmlformats.org/spreadsheetml/2006/main" count="79" uniqueCount="33">
  <si>
    <t>Роки</t>
  </si>
  <si>
    <t>Інтервали</t>
  </si>
  <si>
    <t>Рівень безпеки</t>
  </si>
  <si>
    <t>Абс.Неб</t>
  </si>
  <si>
    <t>Крит.</t>
  </si>
  <si>
    <t>Неб.</t>
  </si>
  <si>
    <t>Незадов.</t>
  </si>
  <si>
    <t>Зад.</t>
  </si>
  <si>
    <t>Опт.</t>
  </si>
  <si>
    <t>Avg</t>
  </si>
  <si>
    <t>Min</t>
  </si>
  <si>
    <t>Max</t>
  </si>
  <si>
    <t>У цей період тренд  був висхідний тренд (позитивна тенденція)</t>
  </si>
  <si>
    <t>Співвідношення загальних доходів 10 відсотків найбільш та найменш забезпеченого населення (децильний коефіцієнт фондів), разів</t>
  </si>
  <si>
    <t>Бідні %</t>
  </si>
  <si>
    <t>Багаті %</t>
  </si>
  <si>
    <t>&gt;=7</t>
  </si>
  <si>
    <t xml:space="preserve">[1; 4,5) </t>
  </si>
  <si>
    <t>[4,5; 5)</t>
  </si>
  <si>
    <t>[5; 5,5)</t>
  </si>
  <si>
    <t>[5; 6)</t>
  </si>
  <si>
    <t>[6;7)</t>
  </si>
  <si>
    <t>Обсяг видатків зведеного бюджету на охорону здоров'я, відсотків ВВП</t>
  </si>
  <si>
    <t>&lt;=3</t>
  </si>
  <si>
    <t>[3;4,5)</t>
  </si>
  <si>
    <t>[4,5; 5,5)</t>
  </si>
  <si>
    <t>[5,5; 6,5)</t>
  </si>
  <si>
    <t>[6,5; 7)</t>
  </si>
  <si>
    <t>Обсяг видатків зведеного бюджету на освіту, відсотків ВВП</t>
  </si>
  <si>
    <t>За показником обсягу видатків заведеного бюджету на освіту, % ВВП Бразилії у період 2013-2022 був на незадовільному рівні. Тенденція позитивна (тренд висхідний)</t>
  </si>
  <si>
    <t>За показником обсягу видатків зведеного бюджету на охорону здоров'я, рівень безпеки Бразилії знаходився на оптимальтному рівні</t>
  </si>
  <si>
    <t>За показником співвідношення загальних доходів 10 відсотків найбільш та найменш забезпеченого населення у період 2014-2022рр. Рівень безпеки Бразилії знаходився на рівні абс. Небезп.</t>
  </si>
  <si>
    <t>Тренд висхідний (тенденція негативна)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</si>
</sst>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###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2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164" fontId="0" fillId="0" borderId="1" xfId="0" applyNumberFormat="1" applyBorder="1" applyAlignment="1" applyProtection="1">
      <alignment horizontal="center" vertical="center"/>
    </xf>
    <xf numFmtId="0" fontId="0" fillId="0" borderId="2" xfId="0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0" xfId="0" applyFont="1" applyBorder="1" applyAlignment="1">
      <alignment horizontal="left" vertical="center" wrapText="1"/>
    </xf>
    <xf numFmtId="0" fontId="0" fillId="0" borderId="0" xfId="0" applyBorder="1"/>
    <xf numFmtId="2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133818897637795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'багаті й бідні'!$A$2</c:f>
              <c:strCache>
                <c:ptCount val="1"/>
                <c:pt idx="0">
                  <c:v>Співвідношення загальних доходів 10 відсотків найбільш та найменш забезпеченого населення (децильний коефіцієнт фондів), разів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layout>
                <c:manualLayout>
                  <c:x val="-9.3949721128608929E-2"/>
                  <c:y val="1.769575678040245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uk-UA"/>
                </a:p>
              </c:txPr>
            </c:trendlineLbl>
          </c:trendline>
          <c:xVal>
            <c:strRef>
              <c:f>'багаті й бідні'!$B$1:$N$1</c:f>
              <c:strCache>
                <c:ptCount val="13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Min</c:v>
                </c:pt>
                <c:pt idx="11">
                  <c:v>Max</c:v>
                </c:pt>
                <c:pt idx="12">
                  <c:v>Avg</c:v>
                </c:pt>
              </c:strCache>
            </c:strRef>
          </c:xVal>
          <c:yVal>
            <c:numRef>
              <c:f>'багаті й бідні'!$B$2:$N$2</c:f>
              <c:numCache>
                <c:formatCode>0.00</c:formatCode>
                <c:ptCount val="13"/>
                <c:pt idx="0">
                  <c:v>34.166666666666671</c:v>
                </c:pt>
                <c:pt idx="1">
                  <c:v>34.083333333333336</c:v>
                </c:pt>
                <c:pt idx="2">
                  <c:v>38.272727272727273</c:v>
                </c:pt>
                <c:pt idx="3">
                  <c:v>42</c:v>
                </c:pt>
                <c:pt idx="4">
                  <c:v>42.5</c:v>
                </c:pt>
                <c:pt idx="5">
                  <c:v>46.666666666666664</c:v>
                </c:pt>
                <c:pt idx="6">
                  <c:v>24.6875</c:v>
                </c:pt>
                <c:pt idx="7">
                  <c:v>41.6</c:v>
                </c:pt>
                <c:pt idx="8">
                  <c:v>34.166666666666671</c:v>
                </c:pt>
                <c:pt idx="9">
                  <c:v>31.38461538461538</c:v>
                </c:pt>
                <c:pt idx="10">
                  <c:v>24.6875</c:v>
                </c:pt>
                <c:pt idx="11">
                  <c:v>46.666666666666664</c:v>
                </c:pt>
                <c:pt idx="12">
                  <c:v>36.9528175990676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0A-4D6F-A1CE-54D1067AD3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604624"/>
        <c:axId val="436601344"/>
      </c:scatterChart>
      <c:valAx>
        <c:axId val="436604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436601344"/>
        <c:crosses val="autoZero"/>
        <c:crossBetween val="midCat"/>
      </c:valAx>
      <c:valAx>
        <c:axId val="43660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436604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133818897637795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'Обсяг видат. на охорону здор'!$A$2</c:f>
              <c:strCache>
                <c:ptCount val="1"/>
                <c:pt idx="0">
                  <c:v>Обсяг видатків зведеного бюджету на охорону здоров'я, відсотків ВВП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uk-UA"/>
                </a:p>
              </c:txPr>
            </c:trendlineLbl>
          </c:trendline>
          <c:xVal>
            <c:strRef>
              <c:f>'Обсяг видат. на охорону здор'!$B$1:$N$1</c:f>
              <c:strCach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Min</c:v>
                </c:pt>
                <c:pt idx="11">
                  <c:v>Max</c:v>
                </c:pt>
                <c:pt idx="12">
                  <c:v>Avg</c:v>
                </c:pt>
              </c:strCache>
            </c:strRef>
          </c:xVal>
          <c:yVal>
            <c:numRef>
              <c:f>'Обсяг видат. на охорону здор'!$B$2:$N$2</c:f>
              <c:numCache>
                <c:formatCode>########0.0</c:formatCode>
                <c:ptCount val="13"/>
                <c:pt idx="0">
                  <c:v>7.9766016000000004</c:v>
                </c:pt>
                <c:pt idx="1">
                  <c:v>8.3964414600000001</c:v>
                </c:pt>
                <c:pt idx="2">
                  <c:v>8.90929985</c:v>
                </c:pt>
                <c:pt idx="3">
                  <c:v>9.1690168399999994</c:v>
                </c:pt>
                <c:pt idx="4">
                  <c:v>9.4712505300000007</c:v>
                </c:pt>
                <c:pt idx="5">
                  <c:v>9.4647502899999996</c:v>
                </c:pt>
                <c:pt idx="6">
                  <c:v>9.61449146</c:v>
                </c:pt>
                <c:pt idx="7">
                  <c:v>9.6232652699999992</c:v>
                </c:pt>
                <c:pt idx="8">
                  <c:v>9.6364650699999999</c:v>
                </c:pt>
                <c:pt idx="9">
                  <c:v>9.1427745799999993</c:v>
                </c:pt>
                <c:pt idx="10" formatCode="0.00">
                  <c:v>7.9766016000000004</c:v>
                </c:pt>
                <c:pt idx="11" formatCode="0.00">
                  <c:v>9.6364650699999999</c:v>
                </c:pt>
                <c:pt idx="12" formatCode="0.00">
                  <c:v>9.140435694999999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2B6-4A99-A886-F37D5F557B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604624"/>
        <c:axId val="436601344"/>
      </c:scatterChart>
      <c:valAx>
        <c:axId val="436604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436601344"/>
        <c:crosses val="autoZero"/>
        <c:crossBetween val="midCat"/>
      </c:valAx>
      <c:valAx>
        <c:axId val="43660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###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436604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133818897637795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'обсяг видатків на освіту'!$A$2</c:f>
              <c:strCache>
                <c:ptCount val="1"/>
                <c:pt idx="0">
                  <c:v>Обсяг видатків зведеного бюджету на освіту, відсотків ВВП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uk-UA"/>
                </a:p>
              </c:txPr>
            </c:trendlineLbl>
          </c:trendline>
          <c:xVal>
            <c:strRef>
              <c:f>'обсяг видатків на освіту'!$B$1:$N$1</c:f>
              <c:strCach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Min</c:v>
                </c:pt>
                <c:pt idx="11">
                  <c:v>Max</c:v>
                </c:pt>
                <c:pt idx="12">
                  <c:v>Avg</c:v>
                </c:pt>
              </c:strCache>
            </c:strRef>
          </c:xVal>
          <c:yVal>
            <c:numRef>
              <c:f>'обсяг видатків на освіту'!$B$2:$N$2</c:f>
              <c:numCache>
                <c:formatCode>0.00</c:formatCode>
                <c:ptCount val="13"/>
                <c:pt idx="0">
                  <c:v>5.8388500213623002</c:v>
                </c:pt>
                <c:pt idx="1">
                  <c:v>5.9484801292419398</c:v>
                </c:pt>
                <c:pt idx="2">
                  <c:v>6.2410597801208496</c:v>
                </c:pt>
                <c:pt idx="3">
                  <c:v>6.3140401840209996</c:v>
                </c:pt>
                <c:pt idx="4">
                  <c:v>6.3204798698425302</c:v>
                </c:pt>
                <c:pt idx="5">
                  <c:v>6.0885100364685103</c:v>
                </c:pt>
                <c:pt idx="6">
                  <c:v>5.9634699821472203</c:v>
                </c:pt>
                <c:pt idx="7">
                  <c:v>5.7715001106262198</c:v>
                </c:pt>
                <c:pt idx="8">
                  <c:v>5.4969801902770996</c:v>
                </c:pt>
                <c:pt idx="9">
                  <c:v>5.6192297935485804</c:v>
                </c:pt>
                <c:pt idx="10">
                  <c:v>5.4969801902770996</c:v>
                </c:pt>
                <c:pt idx="11">
                  <c:v>6.3204798698425302</c:v>
                </c:pt>
                <c:pt idx="12">
                  <c:v>5.9602600097656246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32B-4F66-92C7-3EF7B76344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604624"/>
        <c:axId val="436601344"/>
      </c:scatterChart>
      <c:valAx>
        <c:axId val="436604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436601344"/>
        <c:crosses val="autoZero"/>
        <c:crossBetween val="midCat"/>
      </c:valAx>
      <c:valAx>
        <c:axId val="43660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436604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12</xdr:row>
      <xdr:rowOff>52387</xdr:rowOff>
    </xdr:from>
    <xdr:to>
      <xdr:col>6</xdr:col>
      <xdr:colOff>542925</xdr:colOff>
      <xdr:row>26</xdr:row>
      <xdr:rowOff>128587</xdr:rowOff>
    </xdr:to>
    <xdr:graphicFrame macro="">
      <xdr:nvGraphicFramePr>
        <xdr:cNvPr id="2" name="Діагра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12</xdr:row>
      <xdr:rowOff>52387</xdr:rowOff>
    </xdr:from>
    <xdr:to>
      <xdr:col>6</xdr:col>
      <xdr:colOff>542925</xdr:colOff>
      <xdr:row>26</xdr:row>
      <xdr:rowOff>128587</xdr:rowOff>
    </xdr:to>
    <xdr:graphicFrame macro="">
      <xdr:nvGraphicFramePr>
        <xdr:cNvPr id="2" name="Діагра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12</xdr:row>
      <xdr:rowOff>52387</xdr:rowOff>
    </xdr:from>
    <xdr:to>
      <xdr:col>6</xdr:col>
      <xdr:colOff>542925</xdr:colOff>
      <xdr:row>26</xdr:row>
      <xdr:rowOff>128587</xdr:rowOff>
    </xdr:to>
    <xdr:graphicFrame macro="">
      <xdr:nvGraphicFramePr>
        <xdr:cNvPr id="2" name="Діагра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96"/>
  <sheetViews>
    <sheetView tabSelected="1" topLeftCell="A4" workbookViewId="0">
      <selection activeCell="J15" sqref="J15:K15"/>
    </sheetView>
  </sheetViews>
  <sheetFormatPr defaultRowHeight="15" x14ac:dyDescent="0.25"/>
  <cols>
    <col min="1" max="1" width="21" customWidth="1"/>
  </cols>
  <sheetData>
    <row r="1" spans="1:38" x14ac:dyDescent="0.25">
      <c r="A1" s="3" t="s">
        <v>0</v>
      </c>
      <c r="B1" s="3">
        <v>2014</v>
      </c>
      <c r="C1" s="3">
        <v>2015</v>
      </c>
      <c r="D1" s="3">
        <v>2016</v>
      </c>
      <c r="E1" s="3">
        <v>2017</v>
      </c>
      <c r="F1" s="3">
        <v>2018</v>
      </c>
      <c r="G1" s="3">
        <v>2019</v>
      </c>
      <c r="H1" s="3">
        <v>2020</v>
      </c>
      <c r="I1" s="3">
        <v>2021</v>
      </c>
      <c r="J1" s="3">
        <v>2022</v>
      </c>
      <c r="K1" s="3">
        <v>2023</v>
      </c>
      <c r="L1" s="2" t="s">
        <v>10</v>
      </c>
      <c r="M1" s="2" t="s">
        <v>11</v>
      </c>
      <c r="N1" s="2" t="s">
        <v>9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65.75" customHeight="1" x14ac:dyDescent="0.25">
      <c r="A2" s="17" t="s">
        <v>13</v>
      </c>
      <c r="B2" s="5">
        <f>B3/B4</f>
        <v>34.166666666666671</v>
      </c>
      <c r="C2" s="5">
        <f t="shared" ref="C2:K2" si="0">C3/C4</f>
        <v>34.083333333333336</v>
      </c>
      <c r="D2" s="5">
        <f t="shared" si="0"/>
        <v>38.272727272727273</v>
      </c>
      <c r="E2" s="5">
        <f t="shared" si="0"/>
        <v>42</v>
      </c>
      <c r="F2" s="5">
        <f t="shared" si="0"/>
        <v>42.5</v>
      </c>
      <c r="G2" s="5">
        <f t="shared" si="0"/>
        <v>46.666666666666664</v>
      </c>
      <c r="H2" s="5">
        <f t="shared" si="0"/>
        <v>24.6875</v>
      </c>
      <c r="I2" s="5">
        <f t="shared" si="0"/>
        <v>41.6</v>
      </c>
      <c r="J2" s="5">
        <f t="shared" si="0"/>
        <v>34.166666666666671</v>
      </c>
      <c r="K2" s="5">
        <f t="shared" si="0"/>
        <v>31.38461538461538</v>
      </c>
      <c r="L2" s="5">
        <f>MIN(B2:K2)</f>
        <v>24.6875</v>
      </c>
      <c r="M2" s="5">
        <f>MAX(B2:L2)</f>
        <v>46.666666666666664</v>
      </c>
      <c r="N2" s="5">
        <f>AVERAGE(B2:K2)</f>
        <v>36.9528175990676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x14ac:dyDescent="0.25">
      <c r="A3" s="7" t="s">
        <v>15</v>
      </c>
      <c r="B3" s="18">
        <v>41</v>
      </c>
      <c r="C3" s="18">
        <v>40.9</v>
      </c>
      <c r="D3" s="18">
        <v>42.1</v>
      </c>
      <c r="E3" s="18">
        <v>42</v>
      </c>
      <c r="F3" s="18">
        <v>42.5</v>
      </c>
      <c r="G3" s="18">
        <v>42</v>
      </c>
      <c r="H3" s="18">
        <v>39.5</v>
      </c>
      <c r="I3" s="18">
        <v>41.6</v>
      </c>
      <c r="J3" s="18">
        <v>41</v>
      </c>
      <c r="K3" s="18">
        <v>40.799999999999997</v>
      </c>
      <c r="L3" s="6"/>
      <c r="M3" s="6"/>
      <c r="N3" s="6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x14ac:dyDescent="0.25">
      <c r="A4" s="4" t="s">
        <v>14</v>
      </c>
      <c r="B4" s="2">
        <v>1.2</v>
      </c>
      <c r="C4" s="2">
        <v>1.2</v>
      </c>
      <c r="D4" s="2">
        <v>1.1000000000000001</v>
      </c>
      <c r="E4" s="2">
        <v>1</v>
      </c>
      <c r="F4" s="2">
        <v>1</v>
      </c>
      <c r="G4" s="2">
        <v>0.9</v>
      </c>
      <c r="H4" s="2">
        <v>1.6</v>
      </c>
      <c r="I4" s="2">
        <v>1</v>
      </c>
      <c r="J4" s="2">
        <v>1.2</v>
      </c>
      <c r="K4" s="2">
        <v>1.3</v>
      </c>
      <c r="L4" s="6"/>
      <c r="M4" s="6"/>
      <c r="N4" s="6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x14ac:dyDescent="0.25">
      <c r="A6" s="2" t="s">
        <v>2</v>
      </c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  <c r="H6" s="2" t="s">
        <v>7</v>
      </c>
      <c r="I6" s="2" t="s">
        <v>6</v>
      </c>
      <c r="J6" s="2" t="s">
        <v>5</v>
      </c>
      <c r="K6" s="2" t="s">
        <v>4</v>
      </c>
      <c r="L6" s="2" t="s">
        <v>3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x14ac:dyDescent="0.25">
      <c r="A7" s="2" t="s">
        <v>1</v>
      </c>
      <c r="B7" s="2"/>
      <c r="C7" s="2"/>
      <c r="D7" s="2"/>
      <c r="E7" s="2"/>
      <c r="F7" s="2"/>
      <c r="G7" s="2" t="s">
        <v>17</v>
      </c>
      <c r="H7" s="2" t="s">
        <v>18</v>
      </c>
      <c r="I7" s="2" t="s">
        <v>19</v>
      </c>
      <c r="J7" s="2" t="s">
        <v>20</v>
      </c>
      <c r="K7" s="2" t="s">
        <v>21</v>
      </c>
      <c r="L7" s="2" t="s">
        <v>16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x14ac:dyDescent="0.25">
      <c r="A8" s="1"/>
      <c r="B8" s="5"/>
      <c r="C8" s="1"/>
      <c r="D8" s="1"/>
      <c r="E8" s="1"/>
      <c r="F8" s="1"/>
      <c r="G8" s="1"/>
      <c r="H8" s="1"/>
      <c r="I8" s="1"/>
      <c r="J8" s="1"/>
      <c r="K8" s="1"/>
      <c r="L8" s="1">
        <v>36.950000000000003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x14ac:dyDescent="0.25">
      <c r="A10" s="8" t="s">
        <v>31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x14ac:dyDescent="0.25">
      <c r="A11" s="8" t="s">
        <v>32</v>
      </c>
      <c r="B11" s="8"/>
      <c r="C11" s="8"/>
      <c r="D11" s="8"/>
      <c r="E11" s="8"/>
      <c r="F11" s="8"/>
      <c r="G11" s="8"/>
      <c r="H11" s="8"/>
      <c r="I11" s="8"/>
      <c r="J11" s="8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38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1:38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1:38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96"/>
  <sheetViews>
    <sheetView workbookViewId="0">
      <selection activeCell="I21" sqref="I21"/>
    </sheetView>
  </sheetViews>
  <sheetFormatPr defaultRowHeight="15" x14ac:dyDescent="0.25"/>
  <cols>
    <col min="1" max="1" width="16.42578125" customWidth="1"/>
  </cols>
  <sheetData>
    <row r="1" spans="1:38" x14ac:dyDescent="0.25">
      <c r="A1" s="3" t="s">
        <v>0</v>
      </c>
      <c r="B1" s="3">
        <v>2013</v>
      </c>
      <c r="C1" s="3">
        <v>2014</v>
      </c>
      <c r="D1" s="3">
        <v>2015</v>
      </c>
      <c r="E1" s="3">
        <v>2016</v>
      </c>
      <c r="F1" s="3">
        <v>2017</v>
      </c>
      <c r="G1" s="3">
        <v>2018</v>
      </c>
      <c r="H1" s="3">
        <v>2019</v>
      </c>
      <c r="I1" s="3">
        <v>2020</v>
      </c>
      <c r="J1" s="3">
        <v>2021</v>
      </c>
      <c r="K1" s="3">
        <v>2022</v>
      </c>
      <c r="L1" s="2" t="s">
        <v>10</v>
      </c>
      <c r="M1" s="2" t="s">
        <v>11</v>
      </c>
      <c r="N1" s="2" t="s">
        <v>9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90" x14ac:dyDescent="0.25">
      <c r="A2" s="4" t="s">
        <v>22</v>
      </c>
      <c r="B2" s="9">
        <v>7.9766016000000004</v>
      </c>
      <c r="C2" s="9">
        <v>8.3964414600000001</v>
      </c>
      <c r="D2" s="9">
        <v>8.90929985</v>
      </c>
      <c r="E2" s="9">
        <v>9.1690168399999994</v>
      </c>
      <c r="F2" s="9">
        <v>9.4712505300000007</v>
      </c>
      <c r="G2" s="9">
        <v>9.4647502899999996</v>
      </c>
      <c r="H2" s="9">
        <v>9.61449146</v>
      </c>
      <c r="I2" s="9">
        <v>9.6232652699999992</v>
      </c>
      <c r="J2" s="9">
        <v>9.6364650699999999</v>
      </c>
      <c r="K2" s="9">
        <v>9.1427745799999993</v>
      </c>
      <c r="L2" s="5">
        <f>MIN(B2:K2)</f>
        <v>7.9766016000000004</v>
      </c>
      <c r="M2" s="5">
        <f>MAX(B2:L2)</f>
        <v>9.6364650699999999</v>
      </c>
      <c r="N2" s="5">
        <f>AVERAGE(B2:K2)</f>
        <v>9.140435694999999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x14ac:dyDescent="0.25">
      <c r="A3" s="14"/>
      <c r="B3" s="15"/>
      <c r="C3" s="15"/>
      <c r="D3" s="15"/>
      <c r="E3" s="15"/>
      <c r="F3" s="15"/>
      <c r="G3" s="15"/>
      <c r="H3" s="15"/>
      <c r="I3" s="15"/>
      <c r="J3" s="15"/>
      <c r="K3" s="15"/>
      <c r="L3" s="6"/>
      <c r="M3" s="6"/>
      <c r="N3" s="6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x14ac:dyDescent="0.25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6"/>
      <c r="M4" s="6"/>
      <c r="N4" s="6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x14ac:dyDescent="0.25">
      <c r="A6" s="2" t="s">
        <v>2</v>
      </c>
      <c r="B6" s="10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  <c r="H6" s="2" t="s">
        <v>7</v>
      </c>
      <c r="I6" s="2" t="s">
        <v>6</v>
      </c>
      <c r="J6" s="2" t="s">
        <v>5</v>
      </c>
      <c r="K6" s="2" t="s">
        <v>4</v>
      </c>
      <c r="L6" s="2" t="s">
        <v>3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x14ac:dyDescent="0.25">
      <c r="A7" s="12" t="s">
        <v>1</v>
      </c>
      <c r="B7" s="2" t="s">
        <v>23</v>
      </c>
      <c r="C7" s="13" t="s">
        <v>24</v>
      </c>
      <c r="D7" s="2" t="s">
        <v>25</v>
      </c>
      <c r="E7" s="2" t="s">
        <v>26</v>
      </c>
      <c r="F7" s="2" t="s">
        <v>27</v>
      </c>
      <c r="G7" s="2" t="s">
        <v>16</v>
      </c>
      <c r="H7" s="2"/>
      <c r="I7" s="2"/>
      <c r="J7" s="2"/>
      <c r="K7" s="2"/>
      <c r="L7" s="2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x14ac:dyDescent="0.25">
      <c r="A8" s="1"/>
      <c r="B8" s="11"/>
      <c r="C8" s="1"/>
      <c r="D8" s="1"/>
      <c r="E8" s="1"/>
      <c r="F8" s="1"/>
      <c r="G8" s="2">
        <v>9.14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x14ac:dyDescent="0.25">
      <c r="A10" s="8" t="s">
        <v>30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x14ac:dyDescent="0.25">
      <c r="A11" s="8" t="s">
        <v>12</v>
      </c>
      <c r="B11" s="8"/>
      <c r="C11" s="8"/>
      <c r="D11" s="8"/>
      <c r="E11" s="8"/>
      <c r="F11" s="8"/>
      <c r="G11" s="8"/>
      <c r="H11" s="8"/>
      <c r="I11" s="8"/>
      <c r="J11" s="8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38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1:38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1:38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96"/>
  <sheetViews>
    <sheetView workbookViewId="0">
      <selection activeCell="I21" sqref="I21"/>
    </sheetView>
  </sheetViews>
  <sheetFormatPr defaultRowHeight="15" x14ac:dyDescent="0.25"/>
  <cols>
    <col min="1" max="1" width="16.42578125" customWidth="1"/>
  </cols>
  <sheetData>
    <row r="1" spans="1:38" x14ac:dyDescent="0.25">
      <c r="A1" s="3" t="s">
        <v>0</v>
      </c>
      <c r="B1" s="3">
        <v>2013</v>
      </c>
      <c r="C1" s="3">
        <v>2014</v>
      </c>
      <c r="D1" s="3">
        <v>2015</v>
      </c>
      <c r="E1" s="3">
        <v>2016</v>
      </c>
      <c r="F1" s="3">
        <v>2017</v>
      </c>
      <c r="G1" s="3">
        <v>2018</v>
      </c>
      <c r="H1" s="3">
        <v>2019</v>
      </c>
      <c r="I1" s="3">
        <v>2020</v>
      </c>
      <c r="J1" s="3">
        <v>2021</v>
      </c>
      <c r="K1" s="3">
        <v>2022</v>
      </c>
      <c r="L1" s="2" t="s">
        <v>10</v>
      </c>
      <c r="M1" s="2" t="s">
        <v>11</v>
      </c>
      <c r="N1" s="2" t="s">
        <v>9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94.5" customHeight="1" x14ac:dyDescent="0.25">
      <c r="A2" s="4" t="s">
        <v>28</v>
      </c>
      <c r="B2" s="16">
        <v>5.8388500213623002</v>
      </c>
      <c r="C2" s="16">
        <v>5.9484801292419398</v>
      </c>
      <c r="D2" s="16">
        <v>6.2410597801208496</v>
      </c>
      <c r="E2" s="16">
        <v>6.3140401840209996</v>
      </c>
      <c r="F2" s="16">
        <v>6.3204798698425302</v>
      </c>
      <c r="G2" s="16">
        <v>6.0885100364685103</v>
      </c>
      <c r="H2" s="16">
        <v>5.9634699821472203</v>
      </c>
      <c r="I2" s="16">
        <v>5.7715001106262198</v>
      </c>
      <c r="J2" s="16">
        <v>5.4969801902770996</v>
      </c>
      <c r="K2" s="16">
        <v>5.6192297935485804</v>
      </c>
      <c r="L2" s="5">
        <f>MIN(B2:K2)</f>
        <v>5.4969801902770996</v>
      </c>
      <c r="M2" s="5">
        <f>MAX(B2:L2)</f>
        <v>6.3204798698425302</v>
      </c>
      <c r="N2" s="5">
        <f>AVERAGE(B2:K2)</f>
        <v>5.9602600097656246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x14ac:dyDescent="0.25">
      <c r="A3" s="14"/>
      <c r="B3" s="15"/>
      <c r="C3" s="15"/>
      <c r="D3" s="15"/>
      <c r="E3" s="15"/>
      <c r="F3" s="15"/>
      <c r="G3" s="15"/>
      <c r="H3" s="15"/>
      <c r="I3" s="15"/>
      <c r="J3" s="15"/>
      <c r="K3" s="15"/>
      <c r="L3" s="6"/>
      <c r="M3" s="6"/>
      <c r="N3" s="6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x14ac:dyDescent="0.25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6"/>
      <c r="M4" s="6"/>
      <c r="N4" s="6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x14ac:dyDescent="0.25">
      <c r="A6" s="2" t="s">
        <v>2</v>
      </c>
      <c r="B6" s="10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  <c r="H6" s="2" t="s">
        <v>7</v>
      </c>
      <c r="I6" s="2" t="s">
        <v>6</v>
      </c>
      <c r="J6" s="2" t="s">
        <v>5</v>
      </c>
      <c r="K6" s="2" t="s">
        <v>4</v>
      </c>
      <c r="L6" s="2" t="s">
        <v>3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x14ac:dyDescent="0.25">
      <c r="A7" s="12" t="s">
        <v>1</v>
      </c>
      <c r="B7" s="2" t="s">
        <v>23</v>
      </c>
      <c r="C7" s="13" t="s">
        <v>24</v>
      </c>
      <c r="D7" s="2" t="s">
        <v>25</v>
      </c>
      <c r="E7" s="2" t="s">
        <v>26</v>
      </c>
      <c r="F7" s="2" t="s">
        <v>27</v>
      </c>
      <c r="G7" s="2" t="s">
        <v>16</v>
      </c>
      <c r="H7" s="2"/>
      <c r="I7" s="2"/>
      <c r="J7" s="2"/>
      <c r="K7" s="2"/>
      <c r="L7" s="2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x14ac:dyDescent="0.25">
      <c r="A8" s="1"/>
      <c r="B8" s="11"/>
      <c r="C8" s="1"/>
      <c r="D8" s="1"/>
      <c r="E8" s="2">
        <v>5.96</v>
      </c>
      <c r="F8" s="1"/>
      <c r="G8" s="6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x14ac:dyDescent="0.25">
      <c r="A10" s="8" t="s">
        <v>29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38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1:38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1:38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3</vt:i4>
      </vt:variant>
    </vt:vector>
  </HeadingPairs>
  <TitlesOfParts>
    <vt:vector size="3" baseType="lpstr">
      <vt:lpstr>багаті й бідні</vt:lpstr>
      <vt:lpstr>Обсяг видат. на охорону здор</vt:lpstr>
      <vt:lpstr>обсяг видатків на освіту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2025-11-23T20:02:20Z</dcterms:modified>
</cp:coreProperties>
</file>